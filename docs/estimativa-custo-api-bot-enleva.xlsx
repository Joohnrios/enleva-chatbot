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Premissas" sheetId="2" state="visible" r:id="rId2"/>
    <sheet xmlns:r="http://schemas.openxmlformats.org/officeDocument/2006/relationships" name="Cálculo" sheetId="3" state="visible" r:id="rId3"/>
    <sheet xmlns:r="http://schemas.openxmlformats.org/officeDocument/2006/relationships" name="Intensidade 350" sheetId="4" state="visible" r:id="rId4"/>
    <sheet xmlns:r="http://schemas.openxmlformats.org/officeDocument/2006/relationships" name="TCO Infra+API" sheetId="5" state="visible" r:id="rId5"/>
    <sheet xmlns:r="http://schemas.openxmlformats.org/officeDocument/2006/relationships" name="Cenários" sheetId="6" state="visible" r:id="rId6"/>
    <sheet xmlns:r="http://schemas.openxmlformats.org/officeDocument/2006/relationships" name="Benefício esperado" sheetId="7" state="visible" r:id="rId7"/>
    <sheet xmlns:r="http://schemas.openxmlformats.org/officeDocument/2006/relationships" name="Comparativo Provedores" sheetId="8" state="visible" r:id="rId8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\$#,##0.00;&quot;($&quot;#,##0.00\);\-"/>
    <numFmt numFmtId="165" formatCode="&quot;R$ &quot;#,##0.00;&quot;(R$ &quot;#,##0.00\);\-"/>
    <numFmt numFmtId="166" formatCode="0.0%"/>
    <numFmt numFmtId="167" formatCode="\$#,##0.0000;&quot;($&quot;#,##0.0000\);\-"/>
    <numFmt numFmtId="168" formatCode="\$#,##0.000000;&quot;($&quot;#,##0.000000\);\-"/>
  </numFmts>
  <fonts count="1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C51A0"/>
      <sz val="14"/>
    </font>
    <font>
      <name val="Arial"/>
      <charset val="1"/>
      <family val="0"/>
      <i val="1"/>
      <color rgb="FF707276"/>
      <sz val="10"/>
    </font>
    <font>
      <name val="Arial"/>
      <charset val="1"/>
      <family val="0"/>
      <b val="1"/>
      <sz val="10"/>
    </font>
    <font>
      <name val="Arial"/>
      <charset val="1"/>
      <family val="0"/>
      <color rgb="FF0000FF"/>
      <sz val="10"/>
    </font>
    <font>
      <name val="Arial"/>
      <charset val="1"/>
      <family val="0"/>
      <i val="1"/>
      <color rgb="FF707276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00"/>
      <sz val="10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Arial"/>
      <charset val="1"/>
      <family val="0"/>
      <i val="1"/>
      <color rgb="FFB00000"/>
      <sz val="9"/>
    </font>
    <font>
      <b val="1"/>
    </font>
    <font>
      <b val="1"/>
      <color rgb="00C00000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C51A0"/>
        <bgColor rgb="FF0066CC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164" fontId="6" fillId="0" borderId="0" applyAlignment="1" pivotButton="0" quotePrefix="0" xfId="0">
      <alignment horizontal="general" vertical="bottom"/>
    </xf>
    <xf numFmtId="165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0" fontId="7" fillId="2" borderId="1" applyAlignment="1" pivotButton="0" quotePrefix="0" xfId="0">
      <alignment horizontal="general" vertical="bottom"/>
    </xf>
    <xf numFmtId="2" fontId="7" fillId="2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3" borderId="1" applyAlignment="1" pivotButton="0" quotePrefix="0" xfId="0">
      <alignment horizontal="center" vertical="center" wrapText="1"/>
    </xf>
    <xf numFmtId="166" fontId="7" fillId="2" borderId="1" applyAlignment="1" pivotButton="0" quotePrefix="0" xfId="0">
      <alignment horizontal="general" vertical="bottom"/>
    </xf>
    <xf numFmtId="3" fontId="10" fillId="0" borderId="0" applyAlignment="1" pivotButton="0" quotePrefix="0" xfId="0">
      <alignment horizontal="general" vertical="bottom"/>
    </xf>
    <xf numFmtId="167" fontId="10" fillId="0" borderId="0" applyAlignment="1" pivotButton="0" quotePrefix="0" xfId="0">
      <alignment horizontal="general" vertical="bottom"/>
    </xf>
    <xf numFmtId="167" fontId="6" fillId="0" borderId="0" applyAlignment="1" pivotButton="0" quotePrefix="0" xfId="0">
      <alignment horizontal="general" vertical="bottom"/>
    </xf>
    <xf numFmtId="168" fontId="10" fillId="0" borderId="0" applyAlignment="1" pivotButton="0" quotePrefix="0" xfId="0">
      <alignment horizontal="general" vertical="bottom"/>
    </xf>
    <xf numFmtId="164" fontId="10" fillId="0" borderId="0" applyAlignment="1" pivotButton="0" quotePrefix="0" xfId="0">
      <alignment horizontal="general" vertical="bottom"/>
    </xf>
    <xf numFmtId="165" fontId="1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2" fontId="7" fillId="2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67" fontId="10" fillId="0" borderId="0" applyAlignment="1" pivotButton="0" quotePrefix="0" xfId="0">
      <alignment horizontal="general" vertical="bottom"/>
    </xf>
    <xf numFmtId="3" fontId="10" fillId="0" borderId="0" applyAlignment="1" pivotButton="0" quotePrefix="0" xfId="0">
      <alignment horizontal="general" vertical="bottom"/>
    </xf>
    <xf numFmtId="165" fontId="10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top" wrapText="1"/>
    </xf>
    <xf numFmtId="0" fontId="14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164" fontId="6" fillId="0" borderId="0" applyAlignment="1" pivotButton="0" quotePrefix="0" xfId="0">
      <alignment horizontal="general" vertical="bottom"/>
    </xf>
    <xf numFmtId="165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vertical="top" wrapText="1"/>
    </xf>
    <xf numFmtId="0" fontId="7" fillId="2" borderId="1" applyAlignment="1" pivotButton="0" quotePrefix="0" xfId="0">
      <alignment horizontal="general" vertical="bottom"/>
    </xf>
    <xf numFmtId="2" fontId="7" fillId="2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3" borderId="1" applyAlignment="1" pivotButton="0" quotePrefix="0" xfId="0">
      <alignment horizontal="center" vertical="center" wrapText="1"/>
    </xf>
    <xf numFmtId="166" fontId="7" fillId="2" borderId="1" applyAlignment="1" pivotButton="0" quotePrefix="0" xfId="0">
      <alignment horizontal="general" vertical="bottom"/>
    </xf>
    <xf numFmtId="3" fontId="10" fillId="0" borderId="0" applyAlignment="1" pivotButton="0" quotePrefix="0" xfId="0">
      <alignment horizontal="general" vertical="bottom"/>
    </xf>
    <xf numFmtId="167" fontId="10" fillId="0" borderId="0" applyAlignment="1" pivotButton="0" quotePrefix="0" xfId="0">
      <alignment horizontal="general" vertical="bottom"/>
    </xf>
    <xf numFmtId="167" fontId="6" fillId="0" borderId="0" applyAlignment="1" pivotButton="0" quotePrefix="0" xfId="0">
      <alignment horizontal="general" vertical="bottom"/>
    </xf>
    <xf numFmtId="168" fontId="10" fillId="0" borderId="0" applyAlignment="1" pivotButton="0" quotePrefix="0" xfId="0">
      <alignment horizontal="general" vertical="bottom"/>
    </xf>
    <xf numFmtId="164" fontId="10" fillId="0" borderId="0" applyAlignment="1" pivotButton="0" quotePrefix="0" xfId="0">
      <alignment horizontal="general" vertical="bottom"/>
    </xf>
    <xf numFmtId="165" fontId="10" fillId="0" borderId="0" applyAlignment="1" pivotButton="0" quotePrefix="0" xfId="0">
      <alignment horizontal="general" vertical="bottom"/>
    </xf>
    <xf numFmtId="0" fontId="15" fillId="3" borderId="1" applyAlignment="1" pivotButton="0" quotePrefix="0" xfId="0">
      <alignment horizontal="center" vertical="center" wrapText="1"/>
    </xf>
    <xf numFmtId="0" fontId="15" fillId="0" borderId="0" pivotButton="0" quotePrefix="0" xfId="0"/>
    <xf numFmtId="2" fontId="7" fillId="4" borderId="1" applyAlignment="1" pivotButton="0" quotePrefix="0" xfId="0">
      <alignment horizontal="general" vertical="bottom"/>
    </xf>
    <xf numFmtId="0" fontId="0" fillId="4" borderId="0" pivotButton="0" quotePrefix="0" xfId="0"/>
    <xf numFmtId="0" fontId="15" fillId="0" borderId="0" applyAlignment="1" pivotButton="0" quotePrefix="0" xfId="0">
      <alignment horizontal="general" vertical="bottom"/>
    </xf>
    <xf numFmtId="167" fontId="15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3" fontId="15" fillId="0" borderId="0" applyAlignment="1" pivotButton="0" quotePrefix="0" xfId="0">
      <alignment horizontal="general" vertical="bottom"/>
    </xf>
    <xf numFmtId="165" fontId="1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vertical="top" wrapText="1"/>
    </xf>
    <xf numFmtId="0" fontId="8" fillId="0" borderId="0" applyAlignment="1" pivotButton="0" quotePrefix="0" xfId="0">
      <alignment horizontal="general" vertical="top" wrapText="1"/>
    </xf>
    <xf numFmtId="0" fontId="15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vertical="top" wrapText="1"/>
    </xf>
    <xf numFmtId="0" fontId="14" fillId="0" borderId="0" applyAlignment="1" pivotButton="0" quotePrefix="0" xfId="0">
      <alignment vertical="top" wrapText="1"/>
    </xf>
    <xf numFmtId="0" fontId="16" fillId="0" borderId="0" applyAlignment="1" pivotButton="0" quotePrefix="0" xfId="0">
      <alignment vertical="top" wrapText="1"/>
    </xf>
    <xf numFmtId="0" fontId="17" fillId="0" borderId="0" pivotButton="0" quotePrefix="0" xfId="0"/>
    <xf numFmtId="0" fontId="15" fillId="0" borderId="2" applyAlignment="1" pivotButton="0" quotePrefix="0" xfId="0">
      <alignment vertical="center" wrapText="1"/>
    </xf>
    <xf numFmtId="0" fontId="0" fillId="0" borderId="2" pivotButton="0" quotePrefix="0" xfId="0"/>
    <xf numFmtId="166" fontId="0" fillId="0" borderId="2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00000"/>
      <rgbColor rgb="FF008000"/>
      <rgbColor rgb="FF000080"/>
      <rgbColor rgb="FF707276"/>
      <rgbColor rgb="FF800080"/>
      <rgbColor rgb="FF008080"/>
      <rgbColor rgb="FFCCCCCC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FF9900"/>
      <rgbColor rgb="FFFF6600"/>
      <rgbColor rgb="FF8064A2"/>
      <rgbColor rgb="FFB3B3B3"/>
      <rgbColor rgb="FF003366"/>
      <rgbColor rgb="FF339966"/>
      <rgbColor rgb="FF003300"/>
      <rgbColor rgb="FF333300"/>
      <rgbColor rgb="FF993300"/>
      <rgbColor rgb="FF993366"/>
      <rgbColor rgb="FF1C51A0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Custo mensal estimado — tom Amigável (R$)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Cenários!F4</f>
              <strCache>
                <ptCount val="1"/>
                <pt idx="0">
                  <v>Custo mensal — Amigável (R$)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>None</a:t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Cenários!$A$5:$A$7</f>
              <strCache>
                <ptCount val="3"/>
                <pt idx="0">
                  <v>Conservador</v>
                </pt>
                <pt idx="1">
                  <v>Moderado</v>
                </pt>
                <pt idx="2">
                  <v>Agressivo</v>
                </pt>
              </strCache>
            </strRef>
          </cat>
          <val>
            <numRef>
              <f>Cenários!$F$5:$F$7</f>
              <numCache>
                <formatCode>"R$ "#,##0.00;"(R$ "#,##0.00\);\-</formatCode>
                <ptCount val="3"/>
                <pt idx="0">
                  <v>21.77505</v>
                </pt>
                <pt idx="1">
                  <v>78.39018</v>
                </pt>
                <pt idx="2">
                  <v>203.2338</v>
                </pt>
              </numCache>
            </numRef>
          </val>
        </ser>
        <gapWidth val="150"/>
        <overlap val="0"/>
        <axId val="32309584"/>
        <axId val="87661322"/>
      </barChart>
      <catAx>
        <axId val="32309584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Cenário de adoção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87661322"/>
        <crosses val="autoZero"/>
        <auto val="1"/>
        <lblAlgn val="ctr"/>
        <lblOffset val="100"/>
        <noMultiLvlLbl val="0"/>
      </catAx>
      <valAx>
        <axId val="87661322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R$/mês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&quot;R$ &quot;#,##0.00;&quot;(R$ &quot;#,##0.00\);\-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32309584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Custo mensal por provedor (R$, tom Amigável)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'Comparativo Provedores'!C17</f>
              <strCache>
                <ptCount val="1"/>
                <pt idx="0">
                  <v>Claude Sonnet 5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'Comparativo Provedores'!$A$18:$A$20</f>
              <strCache>
                <ptCount val="3"/>
                <pt idx="0">
                  <v>Conservador</v>
                </pt>
                <pt idx="1">
                  <v>Moderado</v>
                </pt>
                <pt idx="2">
                  <v>Agressivo</v>
                </pt>
              </strCache>
            </strRef>
          </cat>
          <val>
            <numRef>
              <f>'Comparativo Provedores'!$C$18:$C$20</f>
              <numCache>
                <formatCode>"R$ "#,##0.00;"(R$ "#,##0.00\);\-</formatCode>
                <ptCount val="3"/>
                <pt idx="0">
                  <v>21.67965</v>
                </pt>
                <pt idx="1">
                  <v>78.04674</v>
                </pt>
                <pt idx="2">
                  <v>202.3434</v>
                </pt>
              </numCache>
            </numRef>
          </val>
        </ser>
        <ser>
          <idx val="1"/>
          <order val="1"/>
          <tx>
            <strRef>
              <f>'Comparativo Provedores'!D17</f>
              <strCache>
                <ptCount val="1"/>
                <pt idx="0">
                  <v>Claude Haiku 4.5</v>
                </pt>
              </strCache>
            </strRef>
          </tx>
          <spPr>
            <a:solidFill xmlns:a="http://schemas.openxmlformats.org/drawingml/2006/main">
              <a:srgbClr val="c0504d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'Comparativo Provedores'!$A$18:$A$20</f>
              <strCache>
                <ptCount val="3"/>
                <pt idx="0">
                  <v>Conservador</v>
                </pt>
                <pt idx="1">
                  <v>Moderado</v>
                </pt>
                <pt idx="2">
                  <v>Agressivo</v>
                </pt>
              </strCache>
            </strRef>
          </cat>
          <val>
            <numRef>
              <f>'Comparativo Provedores'!$D$18:$D$20</f>
              <numCache>
                <formatCode>"R$ "#,##0.00;"(R$ "#,##0.00\);\-</formatCode>
                <ptCount val="3"/>
                <pt idx="0">
                  <v>7.22655</v>
                </pt>
                <pt idx="1">
                  <v>26.01558</v>
                </pt>
                <pt idx="2">
                  <v>67.4478</v>
                </pt>
              </numCache>
            </numRef>
          </val>
        </ser>
        <ser>
          <idx val="2"/>
          <order val="2"/>
          <tx>
            <strRef>
              <f>'Comparativo Provedores'!E17</f>
              <strCache>
                <ptCount val="1"/>
                <pt idx="0">
                  <v>Gemini 3.1 Flash-Lite</v>
                </pt>
              </strCache>
            </strRef>
          </tx>
          <spPr>
            <a:solidFill xmlns:a="http://schemas.openxmlformats.org/drawingml/2006/main">
              <a:srgbClr val="9bbb59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'Comparativo Provedores'!$A$18:$A$20</f>
              <strCache>
                <ptCount val="3"/>
                <pt idx="0">
                  <v>Conservador</v>
                </pt>
                <pt idx="1">
                  <v>Moderado</v>
                </pt>
                <pt idx="2">
                  <v>Agressivo</v>
                </pt>
              </strCache>
            </strRef>
          </cat>
          <val>
            <numRef>
              <f>'Comparativo Provedores'!$E$18:$E$20</f>
              <numCache>
                <formatCode>"R$ "#,##0.00;"(R$ "#,##0.00\);\-</formatCode>
                <ptCount val="3"/>
                <pt idx="0">
                  <v>1.9378125</v>
                </pt>
                <pt idx="1">
                  <v>6.976125</v>
                </pt>
                <pt idx="2">
                  <v>18.08625</v>
                </pt>
              </numCache>
            </numRef>
          </val>
        </ser>
        <ser>
          <idx val="3"/>
          <order val="3"/>
          <tx>
            <strRef>
              <f>'Comparativo Provedores'!F17</f>
              <strCache>
                <ptCount val="1"/>
                <pt idx="0">
                  <v>Gemini 3.6 Flash</v>
                </pt>
              </strCache>
            </strRef>
          </tx>
          <spPr>
            <a:solidFill xmlns:a="http://schemas.openxmlformats.org/drawingml/2006/main">
              <a:srgbClr val="8064a2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'Comparativo Provedores'!$A$18:$A$20</f>
              <strCache>
                <ptCount val="3"/>
                <pt idx="0">
                  <v>Conservador</v>
                </pt>
                <pt idx="1">
                  <v>Moderado</v>
                </pt>
                <pt idx="2">
                  <v>Agressivo</v>
                </pt>
              </strCache>
            </strRef>
          </cat>
          <val>
            <numRef>
              <f>'Comparativo Provedores'!$F$18:$F$20</f>
              <numCache>
                <formatCode>"R$ "#,##0.00;"(R$ "#,##0.00\);\-</formatCode>
                <ptCount val="3"/>
                <pt idx="0">
                  <v>10.839825</v>
                </pt>
                <pt idx="1">
                  <v>39.02337</v>
                </pt>
                <pt idx="2">
                  <v>101.1717</v>
                </pt>
              </numCache>
            </numRef>
          </val>
        </ser>
        <gapWidth val="150"/>
        <overlap val="0"/>
        <axId val="99720677"/>
        <axId val="91310421"/>
      </barChart>
      <catAx>
        <axId val="99720677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Cenário de adoção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91310421"/>
        <crosses val="autoZero"/>
        <auto val="1"/>
        <lblAlgn val="ctr"/>
        <lblOffset val="100"/>
        <noMultiLvlLbl val="0"/>
      </catAx>
      <valAx>
        <axId val="91310421"/>
        <scaling>
          <orientation val="minMax"/>
        </scaling>
        <delete val="0"/>
        <axPos val="l"/>
        <majorGridlines>
          <spPr>
            <a:ln xmlns:a="http://schemas.openxmlformats.org/drawingml/2006/main" w="0">
              <a:solidFill>
                <a:srgbClr val="b3b3b3"/>
              </a:solidFill>
              <a:prstDash val="solid"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R$/mês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&quot;R$ &quot;#,##0.00;&quot;(R$ &quot;#,##0.00\);\-" sourceLinked="1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99720677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7</row>
      <rowOff>48240</rowOff>
    </from>
    <to>
      <col>4</col>
      <colOff>684360</colOff>
      <row>24</row>
      <rowOff>48960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27</row>
      <rowOff>334800</rowOff>
    </from>
    <to>
      <col>4</col>
      <colOff>1208520</colOff>
      <row>46</row>
      <rowOff>76680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R15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8" customWidth="1" style="30" min="1" max="1"/>
    <col width="18" customWidth="1" style="30" min="2" max="2"/>
  </cols>
  <sheetData>
    <row r="1" ht="17.25" customHeight="1" s="31">
      <c r="A1" s="32" t="inlineStr">
        <is>
          <t>Bot Interno Enleva — Estimativa de Custo de API</t>
        </is>
      </c>
    </row>
    <row r="2" ht="15" customHeight="1" s="31">
      <c r="A2" s="33" t="inlineStr">
        <is>
          <t>Modelo editável para apresentação aos gestores. Ver aba 'Premissas' para ajustar os números.</t>
        </is>
      </c>
    </row>
    <row r="4" ht="15" customHeight="1" s="31">
      <c r="A4" s="34" t="inlineStr">
        <is>
          <t>Apresentação: ver aba 'Intensidade 350' (faixa $2/$10 e $3/$15). Abaixo = Moderado clássico 600 colab. @ preço vigente $2/$10.</t>
        </is>
      </c>
    </row>
    <row r="5" ht="15" customHeight="1" s="31">
      <c r="A5" s="30" t="inlineStr">
        <is>
          <t>Custo mensal estimado (USD)</t>
        </is>
      </c>
      <c r="B5" s="35">
        <f>Cenários!$E$6</f>
        <v/>
      </c>
    </row>
    <row r="6" ht="15" customHeight="1" s="31">
      <c r="A6" s="30" t="inlineStr">
        <is>
          <t>Custo mensal estimado (R$)</t>
        </is>
      </c>
      <c r="B6" s="36">
        <f>Cenários!$F$6</f>
        <v/>
      </c>
    </row>
    <row r="7" ht="15" customHeight="1" s="31">
      <c r="A7" s="30" t="inlineStr">
        <is>
          <t>Custo anual estimado (R$)</t>
        </is>
      </c>
      <c r="B7" s="36">
        <f>B6*12</f>
        <v/>
      </c>
    </row>
    <row r="9" ht="15" customHeight="1" s="31">
      <c r="A9" s="34" t="inlineStr">
        <is>
          <t>Pontos-chave para a apresentação:</t>
        </is>
      </c>
      <c r="R9" s="30" t="n"/>
    </row>
    <row r="10" ht="45" customHeight="1" s="31">
      <c r="A10" s="37" t="inlineStr">
        <is>
          <t>•  O custo de API no cenário Moderado fica ~R$ 50/mês (Sonnet $2/$10). No Agressivo, Sonnet vs Gemini Flash-Lite fica ~R$ 115–120/mês de diferença — material na linha de API, ainda pequeno vs 1 FTE. Há tempo para bakeoff de qualidade antes de trocar provedor.</t>
        </is>
      </c>
      <c r="R10" s="30" t="n"/>
    </row>
    <row r="11" ht="55" customHeight="1" s="31">
      <c r="A11" s="37" t="inlineStr">
        <is>
          <t>•  Preço Sonnet 5: vigente $2/$10 (Anthropic confirmou permanente em 10/08/2026; aumento a $3/$15 em 01/09 foi cancelado). A planilha ainda mostra $3/$15 como coluna de ESTRESSE na aba Intensidade 350 — para gestores verem a faixa, não porque o piloto 'vai pagar promo até 31/08'.</t>
        </is>
      </c>
      <c r="R11" s="30" t="n"/>
    </row>
    <row r="12" ht="45" customHeight="1" s="31">
      <c r="A12" s="37" t="inlineStr">
        <is>
          <t>•  Este valor cobre só a API de IA — não inclui hospedagem/infraestrutura do servidor (item separado, normalmente já coberto pela infra existente da empresa).</t>
        </is>
      </c>
      <c r="R12" s="30" t="n"/>
    </row>
    <row r="13" ht="45" customHeight="1" s="31">
      <c r="A13" s="37" t="inlineStr">
        <is>
          <t>•  O benefício principal NÃO é “economia em R$ por chamado evitado”. É otimização do trabalho de RH/TI (menos fila de FAQ repetitivo), redução de carga operacional e maior proximidade do colaborador com procedimentos oficiais dentro da plataforma da Rede Enleva. Ver aba "Benefício esperado".</t>
        </is>
      </c>
      <c r="R13" s="30" t="n"/>
    </row>
    <row r="14" ht="45" customHeight="1" s="31">
      <c r="A14" s="37" t="inlineStr">
        <is>
          <t>•  Candidatas mais baratas (GPT-4o mini, Gemini Flash/Flash-Lite, ou Haiku como gerador) ficam na aba Comparativo Provedores — só entram em produção se empatar guardrails no bakeoff (ver docs/CUSTOS_LLM.md). Default do piloto permanece Anthropic Sonnet.</t>
        </is>
      </c>
    </row>
    <row r="15">
      <c r="A15" s="37" t="inlineStr">
        <is>
          <t>•  TCO (infra + API Sonnet vs Gemini): ver aba 'TCO Infra+API'. Ajuste os placeholders de host antes de apresentar.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D3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0" min="1" max="1"/>
    <col width="16" customWidth="1" style="30" min="2" max="3"/>
    <col width="55" customWidth="1" style="30" min="4" max="4"/>
  </cols>
  <sheetData>
    <row r="1" ht="17.25" customHeight="1" s="31">
      <c r="A1" s="32" t="inlineStr">
        <is>
          <t>Premissas — Bot Interno Enleva</t>
        </is>
      </c>
    </row>
    <row r="2" ht="15" customHeight="1" s="31">
      <c r="A2" s="33" t="inlineStr">
        <is>
          <t>Células amarelas = editáveis. Ajuste conforme dados reais da empresa.</t>
        </is>
      </c>
    </row>
    <row r="4" ht="15" customHeight="1" s="31">
      <c r="A4" s="34" t="inlineStr">
        <is>
          <t>Empresa</t>
        </is>
      </c>
    </row>
    <row r="5" ht="15" customHeight="1" s="31">
      <c r="A5" s="30" t="inlineStr">
        <is>
          <t>Total de colaboradores</t>
        </is>
      </c>
      <c r="B5" s="38" t="n">
        <v>600</v>
      </c>
    </row>
    <row r="6" ht="15" customHeight="1" s="31">
      <c r="A6" s="30" t="inlineStr">
        <is>
          <t>Câmbio USD → BRL (R$)</t>
        </is>
      </c>
      <c r="B6" s="39" t="n">
        <v>5.3</v>
      </c>
      <c r="D6" s="40" t="inlineStr">
        <is>
          <t>Ajuste conforme cotação do dia da apresentação</t>
        </is>
      </c>
    </row>
    <row r="8" ht="15" customHeight="1" s="31">
      <c r="A8" s="34" t="inlineStr">
        <is>
          <t>Preços da API Anthropic (USD por milhão de tokens) — FAIXA para gestores</t>
        </is>
      </c>
    </row>
    <row r="9" ht="15" customHeight="1" s="31">
      <c r="A9" s="49" t="inlineStr">
        <is>
          <t>Modelo / cenário</t>
        </is>
      </c>
      <c r="B9" s="49" t="inlineStr">
        <is>
          <t>Entrada</t>
        </is>
      </c>
      <c r="C9" s="49" t="inlineStr">
        <is>
          <t>Saída</t>
        </is>
      </c>
      <c r="D9" s="50" t="inlineStr">
        <is>
          <t>Nota</t>
        </is>
      </c>
    </row>
    <row r="10" ht="15" customHeight="1" s="31">
      <c r="A10" s="30" t="inlineStr">
        <is>
          <t>Sonnet 5 — vigente / permanente (usar como base)</t>
        </is>
      </c>
      <c r="B10" s="51" t="n">
        <v>2</v>
      </c>
      <c r="C10" s="51" t="n">
        <v>10</v>
      </c>
      <c r="D10" s="40" t="inlineStr">
        <is>
          <t>Preço oficial atual (consultado ago/2026). Em 10/08/2026 a Anthropic anunciou que $2/$10 deixou de ser só promocional até 31/08 e passou a ser o preço padrão; o aumento para $3/$15 em 01/09/2026 foi cancelado. Fonte: platform.claude.com/docs pricing.</t>
        </is>
      </c>
    </row>
    <row r="11" ht="15" customHeight="1" s="31">
      <c r="A11" s="30" t="inlineStr">
        <is>
          <t>Sonnet 5 — cenário ESTRESSE $3/$15 (não é o list price vigente)</t>
        </is>
      </c>
      <c r="B11" s="51" t="n">
        <v>3</v>
      </c>
      <c r="C11" s="51" t="n">
        <v>15</v>
      </c>
      <c r="D11" s="40" t="inlineStr">
        <is>
          <t>Mantido na planilha só como sensibilidade conservadora (se o list price mudar no futuro ou para comparar com material antigo). NÃO apresentar como 'preço pós-31/08' — isso estava previsto e foi cancelado. Haiku permanece $1/$5 nas linhas abaixo.</t>
        </is>
      </c>
    </row>
    <row r="12">
      <c r="A12" s="30" t="inlineStr">
        <is>
          <t>Claude Haiku 4.5 (classificador de escopo — stack atual)</t>
        </is>
      </c>
      <c r="B12" s="30" t="n">
        <v>1</v>
      </c>
      <c r="C12" s="30" t="n">
        <v>5</v>
      </c>
      <c r="D12" s="30" t="inlineStr">
        <is>
          <t>No stack atual Haiku só classifica escopo ambíguo. Fonte: platform.claude.com — pricing.</t>
        </is>
      </c>
    </row>
    <row r="13" ht="15" customHeight="1" s="31">
      <c r="A13" s="34" t="inlineStr">
        <is>
          <t>Perfil de tokens por mensagem (Sonnet 5 — geração)</t>
        </is>
      </c>
    </row>
    <row r="14" ht="15" customHeight="1" s="31">
      <c r="A14" s="30" t="inlineStr">
        <is>
          <t>System prompt (fixo)</t>
        </is>
      </c>
      <c r="B14" s="38" t="n">
        <v>400</v>
      </c>
    </row>
    <row r="15" ht="15" customHeight="1" s="31">
      <c r="A15" s="30" t="inlineStr">
        <is>
          <t>Contexto recuperado da base (RAG, média)</t>
        </is>
      </c>
      <c r="B15" s="38" t="n">
        <v>1200</v>
      </c>
      <c r="D15" s="40" t="inlineStr">
        <is>
          <t>Baseado em RETRIEVAL_TOP_K=4 chunks de ~500-800 tokens cada, nem sempre todos usados no máximo.</t>
        </is>
      </c>
    </row>
    <row r="16" ht="15" customHeight="1" s="31">
      <c r="A16" s="30" t="inlineStr">
        <is>
          <t>Pergunta do colaborador (média)</t>
        </is>
      </c>
      <c r="B16" s="38" t="n">
        <v>30</v>
      </c>
    </row>
    <row r="17" ht="15" customHeight="1" s="31">
      <c r="A17" s="30" t="inlineStr">
        <is>
          <t>Histórico da conversa (média por mensagem)</t>
        </is>
      </c>
      <c r="B17" s="38" t="n">
        <v>300</v>
      </c>
      <c r="D17" s="40" t="inlineStr">
        <is>
          <t>Média ao longo da sessão (SESSION_MAX_TURNS=6); cresce nas mensagens seguintes de uma mesma conversa.</t>
        </is>
      </c>
    </row>
    <row r="19" ht="15" customHeight="1" s="31">
      <c r="A19" s="34" t="inlineStr">
        <is>
          <t>Tom de resposta (tokens de saída médios)</t>
        </is>
      </c>
    </row>
    <row r="20" ht="15" customHeight="1" s="31">
      <c r="A20" s="30" t="inlineStr">
        <is>
          <t>Direto / objetivo</t>
        </is>
      </c>
      <c r="B20" s="38" t="n">
        <v>90</v>
      </c>
    </row>
    <row r="21" ht="15" customHeight="1" s="31">
      <c r="A21" s="30" t="inlineStr">
        <is>
          <t>Amigável / acessível (recomendado)</t>
        </is>
      </c>
      <c r="B21" s="38" t="n">
        <v>220</v>
      </c>
      <c r="D21" s="40" t="inlineStr">
        <is>
          <t>Indicado para colaborador menos digital. Respostas mais explicativas e acolhedoras usam mais tokens de saída — impacto real no custo, mostrado lado a lado.</t>
        </is>
      </c>
    </row>
    <row r="23" ht="15" customHeight="1" s="31">
      <c r="A23" s="34" t="inlineStr">
        <is>
          <t>Classificador de escopo (Haiku) — casos ambíguos</t>
        </is>
      </c>
    </row>
    <row r="24" ht="15" customHeight="1" s="31">
      <c r="A24" s="30" t="inlineStr">
        <is>
          <t>% de mensagens que acionam o Haiku</t>
        </is>
      </c>
      <c r="B24" s="42" t="n">
        <v>0.2</v>
      </c>
      <c r="D24" s="40" t="inlineStr">
        <is>
          <t>A cascata de escopo (keywords → similaridade local) já filtra a maioria sem chamar API; só casos ambíguos chegam ao Haiku.</t>
        </is>
      </c>
    </row>
    <row r="25" ht="15" customHeight="1" s="31">
      <c r="A25" s="30" t="inlineStr">
        <is>
          <t>Tokens de entrada do classificador</t>
        </is>
      </c>
      <c r="B25" s="38" t="n">
        <v>150</v>
      </c>
    </row>
    <row r="26" ht="15" customHeight="1" s="31">
      <c r="A26" s="30" t="inlineStr">
        <is>
          <t>Tokens de saída do classificador</t>
        </is>
      </c>
      <c r="B26" s="38" t="n">
        <v>10</v>
      </c>
    </row>
    <row r="28" ht="15" customHeight="1" s="31">
      <c r="A28" s="34" t="inlineStr">
        <is>
          <t>Cenários de adoção mensal</t>
        </is>
      </c>
    </row>
    <row r="29" ht="23.25" customHeight="1" s="31">
      <c r="A29" s="41" t="inlineStr">
        <is>
          <t>Cenário</t>
        </is>
      </c>
      <c r="B29" s="41" t="inlineStr">
        <is>
          <t>% colaboradores ativos/mês</t>
        </is>
      </c>
      <c r="C29" s="41" t="inlineStr">
        <is>
          <t>Conversas/usuário/mês</t>
        </is>
      </c>
      <c r="D29" s="41" t="inlineStr">
        <is>
          <t>Mensagens/conversa</t>
        </is>
      </c>
    </row>
    <row r="30" ht="15" customHeight="1" s="31">
      <c r="A30" s="30" t="inlineStr">
        <is>
          <t>Conservador</t>
        </is>
      </c>
      <c r="B30" s="42" t="n">
        <v>0.15</v>
      </c>
      <c r="C30" s="38" t="n">
        <v>2</v>
      </c>
      <c r="D30" s="38" t="n">
        <v>2.5</v>
      </c>
    </row>
    <row r="31" ht="15" customHeight="1" s="31">
      <c r="A31" s="30" t="inlineStr">
        <is>
          <t>Moderado</t>
        </is>
      </c>
      <c r="B31" s="42" t="n">
        <v>0.3</v>
      </c>
      <c r="C31" s="38" t="n">
        <v>3</v>
      </c>
      <c r="D31" s="38" t="n">
        <v>3</v>
      </c>
    </row>
    <row r="32" ht="15" customHeight="1" s="31">
      <c r="A32" s="30" t="inlineStr">
        <is>
          <t>Agressivo</t>
        </is>
      </c>
      <c r="B32" s="42" t="n">
        <v>0.5</v>
      </c>
      <c r="C32" s="38" t="n">
        <v>4</v>
      </c>
      <c r="D32" s="38" t="n">
        <v>3.5</v>
      </c>
    </row>
    <row r="34" ht="15" customHeight="1" s="31">
      <c r="A34" s="34" t="inlineStr">
        <is>
          <t>Benefício esperado (piloto) — indicadores operacionais, não ROI financeiro inventado</t>
        </is>
      </c>
    </row>
    <row r="35" ht="15" customHeight="1" s="31">
      <c r="A35" s="30" t="inlineStr">
        <is>
          <t>Indicador a acompanhar no piloto</t>
        </is>
      </c>
      <c r="B35" s="39" t="inlineStr">
        <is>
          <t>Como medir / preencher</t>
        </is>
      </c>
      <c r="D35" s="40" t="inlineStr">
        <is>
          <t>PREENCHER com valor real de RH/TI, se disponível (custo de tempo do atendente). Valor de exemplo.</t>
        </is>
      </c>
    </row>
    <row r="36" ht="15" customHeight="1" s="31">
      <c r="A36" s="30" t="inlineStr">
        <is>
          <t>% de conversas resolvidas sem abertura de chamado</t>
        </is>
      </c>
      <c r="B36" s="42" t="inlineStr">
        <is>
          <t>PREENCHER com dados do piloto (pesquisa rápida ou marcação no atendimento)</t>
        </is>
      </c>
      <c r="C36" s="30" t="inlineStr">
        <is>
          <t>Não usar preço fictício de chamado</t>
        </is>
      </c>
      <c r="D36" s="40" t="inlineStr">
        <is>
          <t>Estimativa conservadora — nem toda pergunta respondida pelo bot evitaria um chamado real.</t>
        </is>
      </c>
    </row>
    <row r="37" ht="15" customHeight="1" s="31">
      <c r="A37" s="30" t="inlineStr">
        <is>
          <t>Tempo até resposta útil vs. fila RH/TI</t>
        </is>
      </c>
      <c r="B37" s="30" t="inlineStr">
        <is>
          <t>PREENCHER (ex.: minutos no bot vs. SLA médio de chamado)</t>
        </is>
      </c>
    </row>
    <row r="38" ht="15" customHeight="1" s="31">
      <c r="A38" s="30" t="inlineStr">
        <is>
          <t>Uso dentro da intranet (sessões / colaboradores ativos)</t>
        </is>
      </c>
      <c r="B38" s="30" t="inlineStr">
        <is>
          <t>Já estimado nas abas de cenários; validar no piloto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D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0" customWidth="1" style="30" min="1" max="1"/>
    <col width="16" customWidth="1" style="30" min="2" max="3"/>
  </cols>
  <sheetData>
    <row r="1" ht="17.25" customHeight="1" s="31">
      <c r="A1" s="32" t="inlineStr">
        <is>
          <t>Cálculo — Custo por Mensagem</t>
        </is>
      </c>
    </row>
    <row r="2" ht="15" customHeight="1" s="31">
      <c r="A2" s="33" t="inlineStr">
        <is>
          <t>Fórmulas ligadas à aba Premissas. Não edite esta aba diretamente.</t>
        </is>
      </c>
    </row>
    <row r="4" ht="15" customHeight="1" s="31">
      <c r="A4" s="34" t="inlineStr">
        <is>
          <t>Custo por mensagem — Sonnet 5 (geração)</t>
        </is>
      </c>
    </row>
    <row r="5" ht="15" customHeight="1" s="31">
      <c r="A5" s="41" t="n"/>
      <c r="B5" s="41" t="inlineStr">
        <is>
          <t>Direto</t>
        </is>
      </c>
      <c r="C5" s="41" t="inlineStr">
        <is>
          <t>Amigável @ $2/$10 (vigente)</t>
        </is>
      </c>
      <c r="D5" s="50" t="inlineStr">
        <is>
          <t>Amigável @ $3/$15 (estresse)</t>
        </is>
      </c>
    </row>
    <row r="6" ht="15" customHeight="1" s="31">
      <c r="A6" s="30" t="inlineStr">
        <is>
          <t>Tokens de entrada (system + RAG + pergunta + histórico)</t>
        </is>
      </c>
      <c r="B6" s="43">
        <f>Premissas!$B$14+Premissas!$B$15+Premissas!$B$16+Premissas!$B$17</f>
        <v/>
      </c>
      <c r="C6" s="43">
        <f>B6</f>
        <v/>
      </c>
      <c r="D6" s="30">
        <f>C6</f>
        <v/>
      </c>
    </row>
    <row r="7" ht="15" customHeight="1" s="31">
      <c r="A7" s="30" t="inlineStr">
        <is>
          <t>Tokens de saída</t>
        </is>
      </c>
      <c r="B7" s="43">
        <f>Premissas!$B$20</f>
        <v/>
      </c>
      <c r="C7" s="43">
        <f>Premissas!$B$21</f>
        <v/>
      </c>
      <c r="D7" s="30">
        <f>C7</f>
        <v/>
      </c>
    </row>
    <row r="8" ht="15" customHeight="1" s="31">
      <c r="A8" s="30" t="inlineStr">
        <is>
          <t>Custo de entrada (USD)</t>
        </is>
      </c>
      <c r="B8" s="44">
        <f>B6/1000000*Premissas!$B$10</f>
        <v/>
      </c>
      <c r="C8" s="44">
        <f>C6/1000000*Premissas!$B$10</f>
        <v/>
      </c>
      <c r="D8" s="30">
        <f>D6/1000000*Premissas!$B$11</f>
        <v/>
      </c>
    </row>
    <row r="9" ht="15" customHeight="1" s="31">
      <c r="A9" s="30" t="inlineStr">
        <is>
          <t>Custo de saída (USD)</t>
        </is>
      </c>
      <c r="B9" s="44">
        <f>B7/1000000*Premissas!$C$10</f>
        <v/>
      </c>
      <c r="C9" s="44">
        <f>C7/1000000*Premissas!$C$10</f>
        <v/>
      </c>
      <c r="D9" s="30">
        <f>D7/1000000*Premissas!$C$11</f>
        <v/>
      </c>
    </row>
    <row r="10" ht="15" customHeight="1" s="31">
      <c r="A10" s="34" t="inlineStr">
        <is>
          <t>Custo Sonnet por mensagem (USD) — geração</t>
        </is>
      </c>
      <c r="B10" s="45">
        <f>B8+B9</f>
        <v/>
      </c>
      <c r="C10" s="45">
        <f>C8+C9</f>
        <v/>
      </c>
      <c r="D10" s="30">
        <f>D8+D9</f>
        <v/>
      </c>
    </row>
    <row r="12" ht="15" customHeight="1" s="31">
      <c r="A12" s="34" t="inlineStr">
        <is>
          <t>Custo médio do classificador Haiku (ponderado pela % de casos ambíguos)</t>
        </is>
      </c>
    </row>
    <row r="13" ht="15" customHeight="1" s="31">
      <c r="A13" s="30" t="inlineStr">
        <is>
          <t>Custo se acionado (USD)</t>
        </is>
      </c>
      <c r="B13" s="46">
        <f>(Premissas!$B$25/1000000*Premissas!$B$12)+(Premissas!$B$26/1000000*Premissas!$C$12)</f>
        <v/>
      </c>
    </row>
    <row r="14" ht="15" customHeight="1" s="31">
      <c r="A14" s="30" t="inlineStr">
        <is>
          <t>Custo médio ponderado por mensagem (USD)</t>
        </is>
      </c>
      <c r="B14" s="46">
        <f>B13*Premissas!$B$24</f>
        <v/>
      </c>
    </row>
    <row r="16" ht="15" customHeight="1" s="31">
      <c r="A16" s="34" t="inlineStr">
        <is>
          <t>Custo total por mensagem</t>
        </is>
      </c>
    </row>
    <row r="17" ht="15" customHeight="1" s="31">
      <c r="A17" s="41" t="n"/>
      <c r="B17" s="41" t="inlineStr">
        <is>
          <t>Direto</t>
        </is>
      </c>
      <c r="C17" s="41" t="inlineStr">
        <is>
          <t>Amigável</t>
        </is>
      </c>
      <c r="D17" s="30" t="inlineStr">
        <is>
          <t>Amigável @ $3/$15</t>
        </is>
      </c>
    </row>
    <row r="18" ht="15" customHeight="1" s="31">
      <c r="A18" s="30" t="inlineStr">
        <is>
          <t>USD</t>
        </is>
      </c>
      <c r="B18" s="45">
        <f>B10+$B$14</f>
        <v/>
      </c>
      <c r="C18" s="45">
        <f>C10+$B$14</f>
        <v/>
      </c>
      <c r="D18" s="30">
        <f>D10+$B$14</f>
        <v/>
      </c>
    </row>
    <row r="19" ht="15" customHeight="1" s="31">
      <c r="A19" s="30" t="inlineStr">
        <is>
          <t>R$</t>
        </is>
      </c>
      <c r="B19" s="36">
        <f>B18*Premissas!$B$6</f>
        <v/>
      </c>
      <c r="C19" s="36">
        <f>C18*Premissas!$B$6</f>
        <v/>
      </c>
      <c r="D19" s="30">
        <f>D18*Premissas!$B$6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8" customWidth="1" style="31" min="1" max="1"/>
    <col width="36" customWidth="1" style="31" min="2" max="2"/>
    <col width="14" customWidth="1" style="31" min="3" max="3"/>
    <col width="18" customWidth="1" style="31" min="4" max="4"/>
    <col width="18" customWidth="1" style="31" min="5" max="5"/>
    <col width="18" customWidth="1" style="31" min="6" max="6"/>
    <col width="18" customWidth="1" style="31" min="7" max="7"/>
  </cols>
  <sheetData>
    <row r="1">
      <c r="A1" s="64" t="inlineStr">
        <is>
          <t>Cenários de intensidade — pico de usuários ativos no bot</t>
        </is>
      </c>
    </row>
    <row r="2" ht="48" customHeight="1" s="31">
      <c r="A2" s="37" t="inlineStr">
        <is>
          <t>Origem do '350': estimativa informada pelo solicitante na discussão de custo (não veio de RH/TI formal nem inventada pelo modelo). Célula amarela = editável — confirmar com RH/TI antes de cravar na apresentação aos gestores.</t>
        </is>
      </c>
    </row>
    <row r="4">
      <c r="A4" s="30" t="inlineStr">
        <is>
          <t>Usuários ativos no bot (pico / mês)</t>
        </is>
      </c>
      <c r="B4" s="52" t="n">
        <v>350</v>
      </c>
      <c r="D4" s="30" t="inlineStr">
        <is>
          <t>Empresa total (referência Premissas)</t>
        </is>
      </c>
      <c r="E4" s="30">
        <f>Premissas!B5</f>
        <v/>
      </c>
    </row>
    <row r="5">
      <c r="A5" s="30" t="inlineStr">
        <is>
          <t>Câmbio USD→BRL</t>
        </is>
      </c>
      <c r="B5" s="30">
        <f>Premissas!B6</f>
        <v/>
      </c>
    </row>
    <row r="6">
      <c r="A6" s="30" t="inlineStr">
        <is>
          <t>Dias úteis/mês (cenários intensos)</t>
        </is>
      </c>
      <c r="B6" s="52" t="n">
        <v>22</v>
      </c>
    </row>
    <row r="8">
      <c r="A8" s="50" t="inlineStr">
        <is>
          <t>Nível</t>
        </is>
      </c>
      <c r="B8" s="50" t="inlineStr">
        <is>
          <t>Como calcula msgs/mês</t>
        </is>
      </c>
      <c r="C8" s="50" t="inlineStr">
        <is>
          <t>Msgs/mês</t>
        </is>
      </c>
      <c r="D8" s="50" t="inlineStr">
        <is>
          <t>R$/mês @ $2/$10</t>
        </is>
      </c>
      <c r="E8" s="50" t="inlineStr">
        <is>
          <t>R$/mês @ $3/$15</t>
        </is>
      </c>
      <c r="F8" s="50" t="inlineStr">
        <is>
          <t>USD/mês @ $2/$10</t>
        </is>
      </c>
      <c r="G8" s="50" t="inlineStr">
        <is>
          <t>USD/mês @ $3/$15</t>
        </is>
      </c>
    </row>
    <row r="9">
      <c r="A9" s="30" t="inlineStr">
        <is>
          <t>Leve</t>
        </is>
      </c>
      <c r="B9" s="30" t="inlineStr">
        <is>
          <t>usuários × 2 conversas × 2,5 msgs</t>
        </is>
      </c>
      <c r="C9" s="30">
        <f>$B$4*2*2.5</f>
        <v/>
      </c>
      <c r="D9" s="30">
        <f>C9*Cálculo!$C$19</f>
        <v/>
      </c>
      <c r="E9" s="30">
        <f>C9*Cálculo!$D$19</f>
        <v/>
      </c>
      <c r="F9" s="30">
        <f>C9*Cálculo!$C$18</f>
        <v/>
      </c>
      <c r="G9" s="30">
        <f>C9*Cálculo!$D$18</f>
        <v/>
      </c>
    </row>
    <row r="10">
      <c r="A10" s="30" t="inlineStr">
        <is>
          <t>Moderada</t>
        </is>
      </c>
      <c r="B10" s="30" t="inlineStr">
        <is>
          <t>usuários × 3 conversas × 3 msgs</t>
        </is>
      </c>
      <c r="C10" s="30">
        <f>$B$4*3*3</f>
        <v/>
      </c>
      <c r="D10" s="30">
        <f>C10*Cálculo!$C$19</f>
        <v/>
      </c>
      <c r="E10" s="30">
        <f>C10*Cálculo!$D$19</f>
        <v/>
      </c>
      <c r="F10" s="30">
        <f>C10*Cálculo!$C$18</f>
        <v/>
      </c>
      <c r="G10" s="30">
        <f>C10*Cálculo!$D$18</f>
        <v/>
      </c>
    </row>
    <row r="11">
      <c r="A11" s="30" t="inlineStr">
        <is>
          <t>Forte</t>
        </is>
      </c>
      <c r="B11" s="30" t="inlineStr">
        <is>
          <t>usuários × 4 conversas × 3,5 msgs</t>
        </is>
      </c>
      <c r="C11" s="30">
        <f>$B$4*4*3.5</f>
        <v/>
      </c>
      <c r="D11" s="30">
        <f>C11*Cálculo!$C$19</f>
        <v/>
      </c>
      <c r="E11" s="30">
        <f>C11*Cálculo!$D$19</f>
        <v/>
      </c>
      <c r="F11" s="30">
        <f>C11*Cálculo!$C$18</f>
        <v/>
      </c>
      <c r="G11" s="30">
        <f>C11*Cálculo!$D$18</f>
        <v/>
      </c>
    </row>
    <row r="12">
      <c r="A12" s="30" t="inlineStr">
        <is>
          <t>Intensa</t>
        </is>
      </c>
      <c r="B12" s="30" t="inlineStr">
        <is>
          <t>1 msg/usuário/dia útil</t>
        </is>
      </c>
      <c r="C12" s="30">
        <f>$B$4*$B$6*1</f>
        <v/>
      </c>
      <c r="D12" s="30">
        <f>C12*Cálculo!$C$19</f>
        <v/>
      </c>
      <c r="E12" s="30">
        <f>C12*Cálculo!$D$19</f>
        <v/>
      </c>
      <c r="F12" s="30">
        <f>C12*Cálculo!$C$18</f>
        <v/>
      </c>
      <c r="G12" s="30">
        <f>C12*Cálculo!$D$18</f>
        <v/>
      </c>
    </row>
    <row r="13">
      <c r="A13" s="30" t="inlineStr">
        <is>
          <t>Muito intensa</t>
        </is>
      </c>
      <c r="B13" s="30" t="inlineStr">
        <is>
          <t>2 msgs/usuário/dia útil</t>
        </is>
      </c>
      <c r="C13" s="30">
        <f>$B$4*$B$6*2</f>
        <v/>
      </c>
      <c r="D13" s="30">
        <f>C13*Cálculo!$C$19</f>
        <v/>
      </c>
      <c r="E13" s="30">
        <f>C13*Cálculo!$D$19</f>
        <v/>
      </c>
      <c r="F13" s="30">
        <f>C13*Cálculo!$C$18</f>
        <v/>
      </c>
      <c r="G13" s="30">
        <f>C13*Cálculo!$D$18</f>
        <v/>
      </c>
    </row>
    <row r="15">
      <c r="A15" s="50" t="inlineStr">
        <is>
          <t>Leitura para gestores</t>
        </is>
      </c>
    </row>
    <row r="16" ht="40" customHeight="1" s="31">
      <c r="A16" s="37" t="inlineStr">
        <is>
          <t>•  Apresentar sempre FAIXA: coluna $2/$10 (preço vigente/permanente segundo Anthropic) e coluna $3/$15 (estresse). Não diga que em 01/09 o preço 'sobe' — o aumento previsto foi cancelado em 10/08/2026; a coluna estresse é só prudência orçamentária.</t>
        </is>
      </c>
    </row>
    <row r="17" ht="40" customHeight="1" s="31">
      <c r="A17" s="37" t="inlineStr">
        <is>
          <t>•  Piloto real (pós CG-SI) provavelmente roda sob o list price vigente na data do go-live. Revalidar platform.claude.com/docs pricing na semana do contrato.</t>
        </is>
      </c>
    </row>
    <row r="18" ht="40" customHeight="1" s="31">
      <c r="A18" s="37" t="inlineStr">
        <is>
          <t>•  Se o pico de 350 for confirmado por RH/TI, o nível Moderada/Forte é o mais útil para orçamento; Intensa/Muito intensa só se o bot virar hábito diário da maioria.</t>
        </is>
      </c>
    </row>
    <row r="19" ht="40" customHeight="1" s="31">
      <c r="A19" s="37" t="inlineStr">
        <is>
          <t>•  Recomendação de produto: piloto em Anthropic Sonnet; teto/alerta de gasto; se apertar, bakeoff Haiku-como-gerador (mesmo fornecedor) — não Gemini no caminho crítico do piloto.</t>
        </is>
      </c>
    </row>
    <row r="20">
      <c r="A20" s="37" t="inlineStr">
        <is>
          <t>•  Para infra + API na mesma página: aba 'TCO Infra+API' (economia Gemini não elimina o custo do servidor).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56" customWidth="1" style="31" min="1" max="1"/>
    <col width="12" customWidth="1" style="31" min="2" max="2"/>
    <col width="18" customWidth="1" style="31" min="3" max="3"/>
    <col width="18" customWidth="1" style="31" min="4" max="4"/>
    <col width="18" customWidth="1" style="31" min="5" max="5"/>
    <col width="16" customWidth="1" style="31" min="6" max="6"/>
    <col width="16" customWidth="1" style="31" min="7" max="7"/>
    <col width="14" customWidth="1" style="31" min="8" max="8"/>
    <col width="14" customWidth="1" style="31" min="9" max="9"/>
    <col width="18" customWidth="1" style="31" min="10" max="10"/>
  </cols>
  <sheetData>
    <row r="1">
      <c r="A1" s="64" t="inlineStr">
        <is>
          <t>TCO mensal — Infraestrutura + API (Sonnet vs Gemini)</t>
        </is>
      </c>
    </row>
    <row r="2" ht="48" customHeight="1" s="31">
      <c r="A2" s="37" t="inlineStr">
        <is>
          <t>Mesma infra para qualquer fornecedor de LLM. A economia do Gemini reduz só a parte variável (API) — não elimina o custo do host. Células amarelas = editáveis. Msgs/mês vêm da aba Intensidade 350 (usuários em B4 lá).</t>
        </is>
      </c>
    </row>
    <row r="4">
      <c r="A4" s="50" t="inlineStr">
        <is>
          <t>Custo de infraestrutura (R$/mês) — PLACEHOLDERS</t>
        </is>
      </c>
    </row>
    <row r="5">
      <c r="A5" t="inlineStr">
        <is>
          <t>Host dedicado bot (FastAPI + embeddings + Postgres + Django Admin)</t>
        </is>
      </c>
      <c r="B5" s="52" t="n">
        <v>450</v>
      </c>
      <c r="C5" t="inlineStr">
        <is>
          <t>Ajustar com cotação real de VPS/cloud Enleva</t>
        </is>
      </c>
    </row>
    <row r="6">
      <c r="A6" t="inlineStr">
        <is>
          <t>Redis (quando entrar) — opcional / fase posterior</t>
        </is>
      </c>
      <c r="B6" s="52" t="n">
        <v>0</v>
      </c>
      <c r="C6" t="inlineStr">
        <is>
          <t>0 se ainda não provisionado; ex. +30–80 se managed</t>
        </is>
      </c>
    </row>
    <row r="7">
      <c r="A7" t="inlineStr">
        <is>
          <t>Observabilidade / backup / misc</t>
        </is>
      </c>
      <c r="B7" s="52" t="n">
        <v>50</v>
      </c>
    </row>
    <row r="8">
      <c r="A8" s="50" t="inlineStr">
        <is>
          <t>Total infra (R$/mês)</t>
        </is>
      </c>
      <c r="B8" s="50">
        <f>B5+B6+B7</f>
        <v/>
      </c>
    </row>
    <row r="10">
      <c r="A10" t="inlineStr">
        <is>
          <t>Câmbio</t>
        </is>
      </c>
      <c r="B10">
        <f>Premissas!B6</f>
        <v/>
      </c>
    </row>
    <row r="11">
      <c r="A11" t="inlineStr">
        <is>
          <t>Usuários (ref. Intensidade 350)</t>
        </is>
      </c>
      <c r="B11">
        <f>'Intensidade 350'!B4</f>
        <v/>
      </c>
    </row>
    <row r="13" ht="36" customHeight="1" s="31">
      <c r="A13" s="65" t="inlineStr">
        <is>
          <t>Nível</t>
        </is>
      </c>
      <c r="B13" s="65" t="inlineStr">
        <is>
          <t>Msgs/mês</t>
        </is>
      </c>
      <c r="C13" s="65" t="inlineStr">
        <is>
          <t>API Sonnet R$ ($2/$10)</t>
        </is>
      </c>
      <c r="D13" s="65" t="inlineStr">
        <is>
          <t>API Gemini Flash-Lite R$</t>
        </is>
      </c>
      <c r="E13" s="65" t="inlineStr">
        <is>
          <t>API Gemini 3.6 Flash R$</t>
        </is>
      </c>
      <c r="F13" s="65" t="inlineStr">
        <is>
          <t>Economia Lite vs Sonnet</t>
        </is>
      </c>
      <c r="G13" s="65" t="inlineStr">
        <is>
          <t>TCO Sonnet (infra+API)</t>
        </is>
      </c>
      <c r="H13" s="65" t="inlineStr">
        <is>
          <t>TCO Gemini Lite</t>
        </is>
      </c>
      <c r="I13" s="65" t="inlineStr">
        <is>
          <t>TCO Gemini Flash</t>
        </is>
      </c>
      <c r="J13" s="65" t="inlineStr">
        <is>
          <t>Lite economiza quanto do TCO Sonnet?</t>
        </is>
      </c>
    </row>
    <row r="14">
      <c r="A14" s="66">
        <f>'Intensidade 350'!A9</f>
        <v/>
      </c>
      <c r="B14" s="66">
        <f>'Intensidade 350'!C9</f>
        <v/>
      </c>
      <c r="C14" s="66">
        <f>'Intensidade 350'!D9</f>
        <v/>
      </c>
      <c r="D14" s="66">
        <f>B14*'Comparativo Provedores'!$B$15*$B$10</f>
        <v/>
      </c>
      <c r="E14" s="66">
        <f>B14*'Comparativo Provedores'!$B$16*$B$10</f>
        <v/>
      </c>
      <c r="F14" s="66">
        <f>C14-D14</f>
        <v/>
      </c>
      <c r="G14" s="66">
        <f>$B$8+C14</f>
        <v/>
      </c>
      <c r="H14" s="66">
        <f>$B$8+D14</f>
        <v/>
      </c>
      <c r="I14" s="66">
        <f>$B$8+E14</f>
        <v/>
      </c>
      <c r="J14" s="67">
        <f>IF(G14=0,"-",F14/G14)</f>
        <v/>
      </c>
    </row>
    <row r="15">
      <c r="A15" s="66">
        <f>'Intensidade 350'!A10</f>
        <v/>
      </c>
      <c r="B15" s="66">
        <f>'Intensidade 350'!C10</f>
        <v/>
      </c>
      <c r="C15" s="66">
        <f>'Intensidade 350'!D10</f>
        <v/>
      </c>
      <c r="D15" s="66">
        <f>B15*'Comparativo Provedores'!$B$15*$B$10</f>
        <v/>
      </c>
      <c r="E15" s="66">
        <f>B15*'Comparativo Provedores'!$B$16*$B$10</f>
        <v/>
      </c>
      <c r="F15" s="66">
        <f>C15-D15</f>
        <v/>
      </c>
      <c r="G15" s="66">
        <f>$B$8+C15</f>
        <v/>
      </c>
      <c r="H15" s="66">
        <f>$B$8+D15</f>
        <v/>
      </c>
      <c r="I15" s="66">
        <f>$B$8+E15</f>
        <v/>
      </c>
      <c r="J15" s="67">
        <f>IF(G15=0,"-",F15/G15)</f>
        <v/>
      </c>
    </row>
    <row r="16">
      <c r="A16" s="66">
        <f>'Intensidade 350'!A11</f>
        <v/>
      </c>
      <c r="B16" s="66">
        <f>'Intensidade 350'!C11</f>
        <v/>
      </c>
      <c r="C16" s="66">
        <f>'Intensidade 350'!D11</f>
        <v/>
      </c>
      <c r="D16" s="66">
        <f>B16*'Comparativo Provedores'!$B$15*$B$10</f>
        <v/>
      </c>
      <c r="E16" s="66">
        <f>B16*'Comparativo Provedores'!$B$16*$B$10</f>
        <v/>
      </c>
      <c r="F16" s="66">
        <f>C16-D16</f>
        <v/>
      </c>
      <c r="G16" s="66">
        <f>$B$8+C16</f>
        <v/>
      </c>
      <c r="H16" s="66">
        <f>$B$8+D16</f>
        <v/>
      </c>
      <c r="I16" s="66">
        <f>$B$8+E16</f>
        <v/>
      </c>
      <c r="J16" s="67">
        <f>IF(G16=0,"-",F16/G16)</f>
        <v/>
      </c>
    </row>
    <row r="17">
      <c r="A17" s="66">
        <f>'Intensidade 350'!A12</f>
        <v/>
      </c>
      <c r="B17" s="66">
        <f>'Intensidade 350'!C12</f>
        <v/>
      </c>
      <c r="C17" s="66">
        <f>'Intensidade 350'!D12</f>
        <v/>
      </c>
      <c r="D17" s="66">
        <f>B17*'Comparativo Provedores'!$B$15*$B$10</f>
        <v/>
      </c>
      <c r="E17" s="66">
        <f>B17*'Comparativo Provedores'!$B$16*$B$10</f>
        <v/>
      </c>
      <c r="F17" s="66">
        <f>C17-D17</f>
        <v/>
      </c>
      <c r="G17" s="66">
        <f>$B$8+C17</f>
        <v/>
      </c>
      <c r="H17" s="66">
        <f>$B$8+D17</f>
        <v/>
      </c>
      <c r="I17" s="66">
        <f>$B$8+E17</f>
        <v/>
      </c>
      <c r="J17" s="67">
        <f>IF(G17=0,"-",F17/G17)</f>
        <v/>
      </c>
    </row>
    <row r="18">
      <c r="A18" s="66">
        <f>'Intensidade 350'!A13</f>
        <v/>
      </c>
      <c r="B18" s="66">
        <f>'Intensidade 350'!C13</f>
        <v/>
      </c>
      <c r="C18" s="66">
        <f>'Intensidade 350'!D13</f>
        <v/>
      </c>
      <c r="D18" s="66">
        <f>B18*'Comparativo Provedores'!$B$15*$B$10</f>
        <v/>
      </c>
      <c r="E18" s="66">
        <f>B18*'Comparativo Provedores'!$B$16*$B$10</f>
        <v/>
      </c>
      <c r="F18" s="66">
        <f>C18-D18</f>
        <v/>
      </c>
      <c r="G18" s="66">
        <f>$B$8+C18</f>
        <v/>
      </c>
      <c r="H18" s="66">
        <f>$B$8+D18</f>
        <v/>
      </c>
      <c r="I18" s="66">
        <f>$B$8+E18</f>
        <v/>
      </c>
      <c r="J18" s="67">
        <f>IF(G18=0,"-",F18/G18)</f>
        <v/>
      </c>
    </row>
    <row r="20">
      <c r="A20" s="50" t="inlineStr">
        <is>
          <t>Leitura para a conversa com gestão</t>
        </is>
      </c>
    </row>
    <row r="21" ht="40" customHeight="1" s="31">
      <c r="A21" s="37" t="inlineStr">
        <is>
          <t>•  Infra é custo FIXO do produto (host do bot + CMS + banco). Trocar Anthropic por Gemini não remove essa linha — só reduz a variável API.</t>
        </is>
      </c>
    </row>
    <row r="22" ht="40" customHeight="1" s="31">
      <c r="A22" s="37" t="inlineStr">
        <is>
          <t>•  No nível Moderada/Forte, a economia Lite vs Sonnet costuma ser dezenas a ~R$ 150/mês: relevante na fatura de API, pequena frente a um host de centenas de R$.</t>
        </is>
      </c>
    </row>
    <row r="23" ht="40" customHeight="1" s="31">
      <c r="A23" s="37" t="inlineStr">
        <is>
          <t>•  Narrativa recomendada: piloto em Sonnet (dossiê pronto); trilho Gemini em paralelo (lab + mini-dossiê SI) para quando o volume/teto apertar — sem atrasar o CG-SI atual.</t>
        </is>
      </c>
    </row>
    <row r="24" ht="40" customHeight="1" s="31">
      <c r="A24" s="37" t="inlineStr">
        <is>
          <t>•  Ajuste B5–B7 com a cotação real do provedor Enleva antes da apresentação. Defaults (450+50) são PLACEHOLDERS, não proposta comercial.</t>
        </is>
      </c>
    </row>
    <row r="25" ht="40" customHeight="1" s="31">
      <c r="A25" s="37" t="inlineStr">
        <is>
          <t>•  Gemini na tabela = preço Comparativo (Flash-Lite / 3.6 Flash), tom Amigável, API paga only — nunca free tier / AI Studio gratuito.</t>
        </is>
      </c>
    </row>
    <row r="27">
      <c r="A27" s="50" t="inlineStr">
        <is>
          <t>Exemplo numérico (com placeholders atuais de infra)</t>
        </is>
      </c>
    </row>
    <row r="28" ht="40" customHeight="1" s="31">
      <c r="A28" s="37" t="inlineStr">
        <is>
          <t>Se infra ≈ R$ 500 e Moderada (~3.150 msgs): TCO Sonnet ≈ 500+102 ≈ R$ 602; TCO Lite ≈ 500+~7 ≈ R$ 507 — economia ~R$ 95 (~16% do TCO), não 'metade da conta'.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F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" customWidth="1" style="30" min="1" max="2"/>
    <col width="20" customWidth="1" style="30" min="3" max="6"/>
  </cols>
  <sheetData>
    <row r="1" ht="17.25" customHeight="1" s="31">
      <c r="A1" s="32" t="inlineStr">
        <is>
          <t>Cenários — Custo Mensal Estimado</t>
        </is>
      </c>
    </row>
    <row r="2" ht="15" customHeight="1" s="31">
      <c r="A2" s="33" t="inlineStr">
        <is>
          <t>Combina adoção (Premissas) com tom de resposta (Cálculo). Tudo aqui é fórmula.</t>
        </is>
      </c>
    </row>
    <row r="4" ht="23.25" customHeight="1" s="31">
      <c r="A4" s="41" t="inlineStr">
        <is>
          <t>Cenário</t>
        </is>
      </c>
      <c r="B4" s="41" t="inlineStr">
        <is>
          <t>Mensagens/mês</t>
        </is>
      </c>
      <c r="C4" s="41" t="inlineStr">
        <is>
          <t>Custo mensal — Direto (USD)</t>
        </is>
      </c>
      <c r="D4" s="41" t="inlineStr">
        <is>
          <t>Custo mensal — Direto (R$)</t>
        </is>
      </c>
      <c r="E4" s="41" t="inlineStr">
        <is>
          <t>Custo mensal — Amigável (USD)</t>
        </is>
      </c>
      <c r="F4" s="41" t="inlineStr">
        <is>
          <t>Custo mensal — Amigável (R$)</t>
        </is>
      </c>
    </row>
    <row r="5" ht="15" customHeight="1" s="31">
      <c r="A5" s="34" t="inlineStr">
        <is>
          <t>Conservador</t>
        </is>
      </c>
      <c r="B5" s="43">
        <f>Premissas!$B$30*Premissas!$B$5*Premissas!$C$30*Premissas!$D$30</f>
        <v/>
      </c>
      <c r="C5" s="47">
        <f>$B5*Cálculo!$B$18</f>
        <v/>
      </c>
      <c r="D5" s="48">
        <f>$B5*Cálculo!$B$19</f>
        <v/>
      </c>
      <c r="E5" s="47">
        <f>$B5*Cálculo!$C$18</f>
        <v/>
      </c>
      <c r="F5" s="36">
        <f>$B5*Cálculo!$C$19</f>
        <v/>
      </c>
    </row>
    <row r="6" ht="15" customHeight="1" s="31">
      <c r="A6" s="34" t="inlineStr">
        <is>
          <t>Moderado</t>
        </is>
      </c>
      <c r="B6" s="43">
        <f>Premissas!$B$31*Premissas!$B$5*Premissas!$C$31*Premissas!$D$31</f>
        <v/>
      </c>
      <c r="C6" s="47">
        <f>$B6*Cálculo!$B$18</f>
        <v/>
      </c>
      <c r="D6" s="48">
        <f>$B6*Cálculo!$B$19</f>
        <v/>
      </c>
      <c r="E6" s="47">
        <f>$B6*Cálculo!$C$18</f>
        <v/>
      </c>
      <c r="F6" s="36">
        <f>$B6*Cálculo!$C$19</f>
        <v/>
      </c>
    </row>
    <row r="7" ht="15" customHeight="1" s="31">
      <c r="A7" s="34" t="inlineStr">
        <is>
          <t>Agressivo</t>
        </is>
      </c>
      <c r="B7" s="43">
        <f>Premissas!$B$32*Premissas!$B$5*Premissas!$C$32*Premissas!$D$32</f>
        <v/>
      </c>
      <c r="C7" s="47">
        <f>$B7*Cálculo!$B$18</f>
        <v/>
      </c>
      <c r="D7" s="48">
        <f>$B7*Cálculo!$B$19</f>
        <v/>
      </c>
      <c r="E7" s="47">
        <f>$B7*Cálculo!$C$18</f>
        <v/>
      </c>
      <c r="F7" s="36">
        <f>$B7*Cálculo!$C$19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F1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" customWidth="1" style="30" min="1" max="2"/>
    <col width="20" customWidth="1" style="30" min="3" max="3"/>
    <col width="24" customWidth="1" style="30" min="4" max="4"/>
    <col width="20" customWidth="1" style="30" min="5" max="5"/>
    <col width="22" customWidth="1" style="30" min="6" max="6"/>
  </cols>
  <sheetData>
    <row r="1" ht="17.25" customHeight="1" s="31">
      <c r="A1" s="32" t="inlineStr">
        <is>
          <t>Benefício esperado — Bot Interno Enleva</t>
        </is>
      </c>
    </row>
    <row r="2" ht="15" customHeight="1" s="31">
      <c r="A2" s="33" t="inlineStr">
        <is>
          <t>Esta aba NÃO estima economia financeira por “preço de chamado”. O valor do bot é operacional e de experiência: otimizar o trabalho de RH/TI, reduzir carga de FAQ repetitivo e aproximar o colaborador dos procedimentos oficiais na plataforma da Rede Enleva.</t>
        </is>
      </c>
    </row>
    <row r="4" ht="23.25" customHeight="1" s="31">
      <c r="A4" s="41" t="inlineStr">
        <is>
          <t>Cenário</t>
        </is>
      </c>
      <c r="B4" s="41" t="inlineStr">
        <is>
          <t>Mensagens/mês (ref. aba Cenários)</t>
        </is>
      </c>
      <c r="C4" s="41" t="inlineStr">
        <is>
          <t>Foco do benefício</t>
        </is>
      </c>
      <c r="D4" s="41" t="inlineStr">
        <is>
          <t>Indicador sugerido no piloto</t>
        </is>
      </c>
      <c r="E4" s="41" t="n"/>
      <c r="F4" s="41" t="n"/>
    </row>
    <row r="5" ht="15" customHeight="1" s="31">
      <c r="A5" s="34" t="inlineStr">
        <is>
          <t>Conservador</t>
        </is>
      </c>
      <c r="B5" s="43">
        <f>Cenários!B5</f>
        <v/>
      </c>
      <c r="C5" s="43" t="inlineStr">
        <is>
          <t>Validar adoção inicial e qualidade das respostas sem sobrecarregar RH/TI com testes</t>
        </is>
      </c>
      <c r="D5" s="48" t="inlineStr">
        <is>
          <t>% dúvidas resolvidas no bot sem chamado + satisfação qualitativa</t>
        </is>
      </c>
      <c r="E5" s="48" t="n"/>
      <c r="F5" s="36" t="n"/>
    </row>
    <row r="6" ht="15" customHeight="1" s="31">
      <c r="A6" s="34" t="inlineStr">
        <is>
          <t>Moderado (recomendado)</t>
        </is>
      </c>
      <c r="B6" s="43">
        <f>Cenários!B6</f>
        <v/>
      </c>
      <c r="C6" s="43" t="inlineStr">
        <is>
          <t>Redução perceptível de fila de FAQ repetitivo; self-service na intranet</t>
        </is>
      </c>
      <c r="D6" s="48" t="inlineStr">
        <is>
          <t>Volume de chamados FAQ (antes/depois) + uso mensal de colaboradores ativos</t>
        </is>
      </c>
      <c r="E6" s="48" t="n"/>
      <c r="F6" s="36" t="n"/>
    </row>
    <row r="7" ht="15" customHeight="1" s="31">
      <c r="A7" s="34" t="inlineStr">
        <is>
          <t>Agressivo</t>
        </is>
      </c>
      <c r="B7" s="43">
        <f>Cenários!B7</f>
        <v/>
      </c>
      <c r="C7" s="43" t="inlineStr">
        <is>
          <t>Bot como canal habitual de primeira resposta para procedimentos internos</t>
        </is>
      </c>
      <c r="D7" s="48" t="inlineStr">
        <is>
          <t>Tempo médio até resposta útil vs. SLA de chamado + NPS interno do widget</t>
        </is>
      </c>
      <c r="E7" s="48" t="n"/>
      <c r="F7" s="36" t="n"/>
    </row>
    <row r="9" ht="15" customHeight="1" s="31">
      <c r="A9" s="40" t="inlineStr">
        <is>
          <t>Nota para gestores</t>
        </is>
      </c>
    </row>
    <row r="10" ht="15" customHeight="1" s="31">
      <c r="A10" s="37" t="inlineStr">
        <is>
          <t>Compare o custo de API (abas Resumo / Intensidade 350 — faixa $2/$10 e estresse $3/$15) com o custo de oportunidade de RH/TI. Não invente ROI por chamado. Confirmar o número de usuários ativos (célula B4 da Intensidade 350) com RH/TI.</t>
        </is>
      </c>
    </row>
    <row r="12" ht="15" customHeight="1" s="31">
      <c r="A12" s="30" t="inlineStr">
        <is>
          <t>Custo de API (tom Amigável) — referência</t>
        </is>
      </c>
    </row>
    <row r="13" ht="15" customHeight="1" s="31">
      <c r="A13" s="30" t="inlineStr">
        <is>
          <t>Cenário</t>
        </is>
      </c>
      <c r="B13" s="30" t="inlineStr">
        <is>
          <t>Custo API (R$/mês)</t>
        </is>
      </c>
    </row>
    <row r="14" ht="15" customHeight="1" s="31">
      <c r="A14" s="30" t="inlineStr">
        <is>
          <t>Conservador</t>
        </is>
      </c>
      <c r="B14" s="30">
        <f>Cenários!F5</f>
        <v/>
      </c>
    </row>
    <row r="15" ht="15" customHeight="1" s="31">
      <c r="A15" s="30" t="inlineStr">
        <is>
          <t>Moderado</t>
        </is>
      </c>
      <c r="B15" s="30">
        <f>Cenários!F6</f>
        <v/>
      </c>
    </row>
    <row r="16" ht="15" customHeight="1" s="31">
      <c r="A16" s="30" t="inlineStr">
        <is>
          <t>Agressivo</t>
        </is>
      </c>
      <c r="B16" s="30">
        <f>Cenários!F7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1"/>
  </sheetPr>
  <dimension ref="A1:G3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4" customWidth="1" style="30" min="1" max="1"/>
    <col width="16" customWidth="1" style="30" min="2" max="2"/>
    <col width="16" customWidth="1" style="30" min="3" max="4"/>
    <col width="55" customWidth="1" style="31" min="4" max="4"/>
    <col width="16" customWidth="1" style="30" min="5" max="5"/>
    <col width="16" customWidth="1" style="30" min="6" max="6"/>
    <col width="16" customWidth="1" style="31" min="7" max="7"/>
  </cols>
  <sheetData>
    <row r="1" ht="17.35" customHeight="1" s="31">
      <c r="A1" s="32" t="inlineStr">
        <is>
          <t>Comparativo — Anthropic vs OpenAI vs Gemini (tom Amigável)</t>
        </is>
      </c>
    </row>
    <row r="2" ht="15" customHeight="1" s="31">
      <c r="A2" s="33" t="inlineStr">
        <is>
          <t>Mesmas premissas de tokens da aba Premissas. Só o preço por token muda. Haiku como gerador NÃO é o stack atual (hoje Haiku = escopo). OpenAI e Gemini são candidatas ao bakeoff.</t>
        </is>
      </c>
    </row>
    <row r="4" ht="15" customHeight="1" s="31">
      <c r="A4" s="34" t="inlineStr">
        <is>
          <t>Preços — candidatas (USD por milhão de tokens)</t>
        </is>
      </c>
    </row>
    <row r="5" ht="15" customHeight="1" s="31">
      <c r="A5" s="49" t="inlineStr">
        <is>
          <t>Modelo</t>
        </is>
      </c>
      <c r="B5" s="49" t="inlineStr">
        <is>
          <t>Entrada</t>
        </is>
      </c>
      <c r="C5" s="49" t="inlineStr">
        <is>
          <t>Saída</t>
        </is>
      </c>
      <c r="D5" s="50" t="inlineStr">
        <is>
          <t>Nota</t>
        </is>
      </c>
    </row>
    <row r="6" ht="15" customHeight="1" s="31">
      <c r="A6" s="30" t="inlineStr">
        <is>
          <t>Gemini 3.1 Flash-Lite (mais barato)</t>
        </is>
      </c>
      <c r="B6" s="51" t="n">
        <v>0.25</v>
      </c>
      <c r="C6" s="51" t="n">
        <v>1.5</v>
      </c>
      <c r="D6" s="40" t="inlineStr">
        <is>
          <t>Gemini 2.5 Flash-Lite ($0,10/$0,40) mais barato, mas com aposentadoria anunciada — preferir 3.1 Flash-Lite como base barata Google.</t>
        </is>
      </c>
    </row>
    <row r="7" ht="15" customHeight="1" s="31">
      <c r="A7" s="30" t="inlineStr">
        <is>
          <t>Gemini 3.6 Flash (faixa de qualidade)</t>
        </is>
      </c>
      <c r="B7" s="51" t="n">
        <v>1.5</v>
      </c>
      <c r="C7" s="51" t="n">
        <v>7.5</v>
      </c>
      <c r="D7" s="40" t="inlineStr">
        <is>
          <t>Fonte: ai.google.dev/gemini-api/docs/pricing (consultado 12/08/2026). Usar só API paga — nunca free tier.</t>
        </is>
      </c>
    </row>
    <row r="8">
      <c r="A8" s="30" t="inlineStr">
        <is>
          <t>OpenAI GPT-4o mini</t>
        </is>
      </c>
      <c r="B8" s="52" t="n">
        <v>0.15</v>
      </c>
      <c r="C8" s="52" t="n">
        <v>0.6</v>
      </c>
      <c r="D8" s="30" t="inlineStr">
        <is>
          <t>Fonte: openai.com/api/pricing. Já suportado via LLM_PROVIDER=openai no projeto.</t>
        </is>
      </c>
    </row>
    <row r="9" ht="15" customHeight="1" s="31">
      <c r="A9" s="34" t="n"/>
    </row>
    <row r="10" ht="35.05" customHeight="1" s="31">
      <c r="A10" s="41" t="inlineStr">
        <is>
          <t>Custo por mensagem — tom Amigável (USD) — só geração (sem ponderar Haiku de escopo do stack atual)</t>
        </is>
      </c>
      <c r="B10" s="41" t="n"/>
    </row>
    <row r="11" ht="15" customHeight="1" s="31">
      <c r="A11" s="53" t="inlineStr">
        <is>
          <t>Provedor / Modelo</t>
        </is>
      </c>
      <c r="B11" s="54" t="inlineStr">
        <is>
          <t>Custo por mensagem (USD)</t>
        </is>
      </c>
    </row>
    <row r="12" ht="15" customHeight="1" s="31">
      <c r="A12" s="55" t="inlineStr">
        <is>
          <t>Claude Sonnet 5 (stack atual — geração)</t>
        </is>
      </c>
      <c r="B12" s="44">
        <f>(Premissas!$B$14+Premissas!$B$15+Premissas!$B$16+Premissas!$B$17)/1000000*Premissas!$B$10+Premissas!$B$21/1000000*Premissas!$C$10</f>
        <v/>
      </c>
    </row>
    <row r="13" ht="15" customHeight="1" s="31">
      <c r="A13" s="55" t="inlineStr">
        <is>
          <t>Claude Haiku 4.5 (HIPÓTESE: usado como gerador — NÃO é o stack atual)</t>
        </is>
      </c>
      <c r="B13" s="44">
        <f>(Premissas!$B$14+Premissas!$B$15+Premissas!$B$16+Premissas!$B$17)/1000000*Premissas!$B$12+Premissas!$B$21/1000000*Premissas!$C$12</f>
        <v/>
      </c>
    </row>
    <row r="14" ht="15" customHeight="1" s="31">
      <c r="A14" s="55" t="inlineStr">
        <is>
          <t>OpenAI GPT-4o mini (candidata bakeoff)</t>
        </is>
      </c>
      <c r="B14" s="44">
        <f>(Premissas!$B$14+Premissas!$B$15+Premissas!$B$16+Premissas!$B$17)/1000000*$B$8+Premissas!$B$21/1000000*$C$8</f>
        <v/>
      </c>
    </row>
    <row r="15">
      <c r="A15" s="30" t="inlineStr">
        <is>
          <t>Gemini 3.1 Flash-Lite (candidata bakeoff — barata)</t>
        </is>
      </c>
      <c r="B15" s="30">
        <f>(Premissas!$B$14+Premissas!$B$15+Premissas!$B$16+Premissas!$B$17)/1000000*$B$6+Premissas!$B$21/1000000*$C$6</f>
        <v/>
      </c>
    </row>
    <row r="16" ht="15" customHeight="1" s="31">
      <c r="A16" s="34" t="inlineStr">
        <is>
          <t>Gemini 3.6 Flash (candidata bakeoff — qualidade)</t>
        </is>
      </c>
      <c r="B16" s="30">
        <f>(Premissas!$B$14+Premissas!$B$15+Premissas!$B$16+Premissas!$B$17)/1000000*$B$7+Premissas!$B$21/1000000*$C$7</f>
        <v/>
      </c>
    </row>
    <row r="17" ht="15" customHeight="1" s="31">
      <c r="A17" s="41" t="n"/>
      <c r="B17" s="41" t="n"/>
      <c r="C17" s="41" t="n"/>
      <c r="D17" s="41" t="n"/>
      <c r="E17" s="41" t="n"/>
      <c r="F17" s="41" t="n"/>
    </row>
    <row r="18" ht="15" customHeight="1" s="31">
      <c r="A18" s="34" t="inlineStr">
        <is>
          <t>Custo mensal por cenário (R$, tom Amigável)</t>
        </is>
      </c>
      <c r="B18" s="43" t="n"/>
      <c r="C18" s="48" t="n"/>
      <c r="D18" s="48" t="n"/>
      <c r="E18" s="48" t="n"/>
      <c r="F18" s="48" t="n"/>
    </row>
    <row r="19" ht="15" customHeight="1" s="31">
      <c r="A19" s="53" t="inlineStr">
        <is>
          <t>Cenário</t>
        </is>
      </c>
      <c r="B19" s="56" t="inlineStr">
        <is>
          <t>Mensagens/mês</t>
        </is>
      </c>
      <c r="C19" s="57" t="inlineStr">
        <is>
          <t>Sonnet 5</t>
        </is>
      </c>
      <c r="D19" s="57" t="inlineStr">
        <is>
          <t>Haiku como gerador*</t>
        </is>
      </c>
      <c r="E19" s="57" t="inlineStr">
        <is>
          <t>GPT-4o mini</t>
        </is>
      </c>
      <c r="F19" s="57" t="inlineStr">
        <is>
          <t>Gemini Flash-Lite</t>
        </is>
      </c>
      <c r="G19" s="50" t="inlineStr">
        <is>
          <t>Gemini 3.6 Flash</t>
        </is>
      </c>
    </row>
    <row r="20" ht="15" customHeight="1" s="31">
      <c r="A20" s="34" t="inlineStr">
        <is>
          <t>Conservador</t>
        </is>
      </c>
      <c r="B20" s="43">
        <f>Cenários!$B$5</f>
        <v/>
      </c>
      <c r="C20" s="48">
        <f>$B20*$B$12*Premissas!$B$6</f>
        <v/>
      </c>
      <c r="D20" s="48">
        <f>$B20*$B$13*Premissas!$B$6</f>
        <v/>
      </c>
      <c r="E20" s="48">
        <f>$B20*$B$14*Premissas!$B$6</f>
        <v/>
      </c>
      <c r="F20" s="48">
        <f>$B20*$B$15*Premissas!$B$6</f>
        <v/>
      </c>
      <c r="G20" s="30">
        <f>$B20*$B$16*Premissas!$B$6</f>
        <v/>
      </c>
    </row>
    <row r="21">
      <c r="A21" s="30" t="inlineStr">
        <is>
          <t>Moderado</t>
        </is>
      </c>
      <c r="B21" s="30">
        <f>Cenários!$B$6</f>
        <v/>
      </c>
      <c r="C21" s="30">
        <f>$B21*$B$12*Premissas!$B$6</f>
        <v/>
      </c>
      <c r="D21" s="30">
        <f>$B21*$B$13*Premissas!$B$6</f>
        <v/>
      </c>
      <c r="E21" s="30">
        <f>$B21*$B$14*Premissas!$B$6</f>
        <v/>
      </c>
      <c r="F21" s="30">
        <f>$B21*$B$15*Premissas!$B$6</f>
        <v/>
      </c>
      <c r="G21" s="30">
        <f>$B21*$B$16*Premissas!$B$6</f>
        <v/>
      </c>
    </row>
    <row r="22">
      <c r="A22" s="30" t="inlineStr">
        <is>
          <t>Agressivo</t>
        </is>
      </c>
      <c r="B22" s="30">
        <f>Cenários!$B$7</f>
        <v/>
      </c>
      <c r="C22" s="30">
        <f>$B22*$B$12*Premissas!$B$6</f>
        <v/>
      </c>
      <c r="D22" s="30">
        <f>$B22*$B$13*Premissas!$B$6</f>
        <v/>
      </c>
      <c r="E22" s="30">
        <f>$B22*$B$14*Premissas!$B$6</f>
        <v/>
      </c>
      <c r="F22" s="30">
        <f>$B22*$B$15*Premissas!$B$6</f>
        <v/>
      </c>
      <c r="G22" s="30">
        <f>$B22*$B$16*Premissas!$B$6</f>
        <v/>
      </c>
    </row>
    <row r="23" ht="15" customHeight="1" s="31">
      <c r="A23" s="58" t="inlineStr">
        <is>
          <t>* Haiku como gerador = hipótese de economia DENTRO da Anthropic; no código atual Haiku só classifica escopo.</t>
        </is>
      </c>
    </row>
    <row r="24" ht="33.75" customHeight="1" s="31">
      <c r="A24" s="59" t="n"/>
    </row>
    <row r="25" ht="48" customHeight="1" s="31">
      <c r="A25" s="60" t="inlineStr">
        <is>
          <t>Leitura dos números</t>
        </is>
      </c>
    </row>
    <row r="26" ht="52" customHeight="1" s="31">
      <c r="A26" s="61" t="inlineStr">
        <is>
          <t>•  No cenário Agressivo (preço Sonnet vigente $2/$10), Sonnet vs Gemini Flash-Lite fica ~R$ 115–120/mês (não “poucas dezenas”). Dinheiro real na linha de API; ainda assim pequeno vs 1 FTE. Buscar a opção mais barata via bakeoff, sem pressa.</t>
        </is>
      </c>
    </row>
    <row r="27" ht="52" customHeight="1" s="31">
      <c r="A27" s="62" t="inlineStr">
        <is>
          <t>•  Modelos baratos (Flash-Lite, às vezes mini) podem falhar em seguir instruções/guardrails. Para este bot (recusa segura, fail-closed, tom consistente), qualidade manda: barato só ganha se empatar o Sonnet nos testes.</t>
        </is>
      </c>
    </row>
    <row r="28" ht="52" customHeight="1" s="31">
      <c r="A28" s="61" t="inlineStr">
        <is>
          <t>•  Trocar de fornecedor reabre governança (dossiê SI / DPA). Trocar só o modelo dentro da Anthropic (ex.: Haiku como gerador) é mais leve em SI, mas ainda exige bakeoff.</t>
        </is>
      </c>
    </row>
    <row r="29" ht="52" customHeight="1" s="31">
      <c r="A29" s="63" t="inlineStr">
        <is>
          <t>•  IMPORTANTE: a camada gratuita do Gemini (Google AI Studio) pode reutilizar conteúdo para melhorar produtos Google — incompatível com o dossiê. Qualquer teste Gemini = API paga com faturamento ativado, nunca free tier.</t>
        </is>
      </c>
    </row>
    <row r="30" ht="52" customHeight="1" s="31">
      <c r="A30" s="37" t="inlineStr">
        <is>
          <t>•  Recomendação agora: manter Sonnet em produção/piloto; usar esta aba + docs/CUSTOS_LLM.md para experimentar candidatas baratas com a mesma bateria de testes. Só trocar default se empatar guardrails.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2026-08-09T03:02:43Z</dcterms:created>
  <dcterms:modified xmlns:dcterms="http://purl.org/dc/terms/" xmlns:xsi="http://www.w3.org/2001/XMLSchema-instance" xsi:type="dcterms:W3CDTF">2026-08-14T22:33:23Z</dcterms:modified>
  <cp:revision>2</cp:revision>
</cp:coreProperties>
</file>